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analuizaorchismachado/Downloads/"/>
    </mc:Choice>
  </mc:AlternateContent>
  <xr:revisionPtr revIDLastSave="0" documentId="8_{73E45D9C-B41E-EA46-B770-C54291CB90FF}" xr6:coauthVersionLast="47" xr6:coauthVersionMax="47" xr10:uidLastSave="{00000000-0000-0000-0000-000000000000}"/>
  <bookViews>
    <workbookView xWindow="0" yWindow="580" windowWidth="25600" windowHeight="14940" tabRatio="500" activeTab="1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35" i="2" l="1"/>
  <c r="C11" i="2"/>
  <c r="C12" i="2"/>
  <c r="C13" i="2"/>
  <c r="C14" i="2"/>
  <c r="C15" i="2"/>
  <c r="C16" i="2"/>
  <c r="C10" i="2"/>
  <c r="D29" i="2"/>
  <c r="D30" i="2"/>
  <c r="D31" i="2"/>
  <c r="D32" i="2"/>
  <c r="D33" i="2"/>
  <c r="D34" i="2"/>
  <c r="D28" i="2"/>
  <c r="B35" i="2"/>
  <c r="C34" i="2"/>
  <c r="C33" i="2"/>
  <c r="C32" i="2"/>
  <c r="C31" i="2"/>
  <c r="C30" i="2"/>
  <c r="C29" i="2"/>
  <c r="C28" i="2"/>
  <c r="B20" i="2"/>
  <c r="B17" i="2"/>
  <c r="B19" i="2" s="1"/>
  <c r="C23" i="2" s="1"/>
  <c r="B21" i="2" l="1"/>
  <c r="C35" i="2"/>
  <c r="B39" i="2" s="1"/>
  <c r="C39" i="2"/>
</calcChain>
</file>

<file path=xl/sharedStrings.xml><?xml version="1.0" encoding="utf-8"?>
<sst xmlns="http://schemas.openxmlformats.org/spreadsheetml/2006/main" count="79" uniqueCount="58">
  <si>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</si>
  <si>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</si>
  <si>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</si>
  <si>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</si>
  <si>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</si>
  <si>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</si>
  <si>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</si>
  <si>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</si>
  <si>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</si>
  <si>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</si>
  <si>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</si>
  <si>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</si>
  <si>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</si>
  <si>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</si>
  <si>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</si>
  <si>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</si>
  <si>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</si>
  <si>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</si>
  <si>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</si>
  <si>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</si>
  <si>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</si>
  <si>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</si>
  <si>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</si>
  <si>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</si>
  <si>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</si>
  <si>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</si>
  <si>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</si>
  <si>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</si>
  <si>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</si>
  <si>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</si>
  <si>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</si>
  <si>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</si>
  <si>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</si>
  <si>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</si>
  <si>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</si>
  <si>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</si>
  <si>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</si>
  <si>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</si>
  <si>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</si>
  <si>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</si>
  <si>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</si>
  <si>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</si>
  <si>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</si>
  <si>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</si>
  <si>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</si>
  <si>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</si>
  <si>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</si>
  <si>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</si>
  <si>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</si>
  <si>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</si>
  <si>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Usuário</t>
  </si>
  <si>
    <t>Indique o seu nome no campo roxo</t>
  </si>
  <si>
    <t>aumento devido a fechamento de escola próxima</t>
  </si>
  <si>
    <t>bárbara tagliaferro</t>
  </si>
  <si>
    <t>aumento devido ao sucesso de propaganda e melhoria de infraestrutura</t>
  </si>
  <si>
    <t>fernanda mota</t>
  </si>
  <si>
    <t>aumento por novo conjunto habitacional no bairro</t>
  </si>
  <si>
    <t>erika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</si>
</sst>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 &quot;#,##0.00"/>
    <numFmt numFmtId="165" formatCode="0.0%"/>
    <numFmt numFmtId="166" formatCode="\R&quot;R$&quot;\ #,##0.00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5ABEC"/>
        <bgColor indexed="64"/>
      </patternFill>
    </fill>
    <fill>
      <patternFill patternType="solid">
        <fgColor rgb="FFDA6AD5"/>
        <bgColor indexed="64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0" fillId="10" borderId="3" xfId="0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16" fillId="10" borderId="3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1" fillId="2" borderId="0" xfId="0" applyFont="1" applyFill="1" applyAlignment="1">
      <alignment horizontal="left" vertical="center" inden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A6AD5"/>
      <color rgb="FFF5AB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B14" sqref="B14"/>
    </sheetView>
  </sheetViews>
  <sheetFormatPr baseColWidth="10" defaultColWidth="8.6640625" defaultRowHeight="15" x14ac:dyDescent="0.2"/>
  <cols>
    <col min="1" max="1" width="26" customWidth="1"/>
    <col min="2" max="2" width="20" customWidth="1"/>
    <col min="3" max="3" width="4" customWidth="1"/>
  </cols>
  <sheetData>
    <row r="1" spans="1:2" ht="25.5" customHeight="1" x14ac:dyDescent="0.2">
      <c r="A1" s="52" t="s">
        <v>0</v>
      </c>
      <c r="B1" s="52"/>
    </row>
    <row r="2" spans="1:2" ht="62.25" customHeight="1" x14ac:dyDescent="0.2">
      <c r="A2" s="48" t="s">
        <v>1</v>
      </c>
      <c r="B2" s="48"/>
    </row>
    <row r="4" spans="1:2" ht="27.75" customHeight="1" x14ac:dyDescent="0.2">
      <c r="A4" s="1" t="s">
        <v>2</v>
      </c>
      <c r="B4" s="1" t="s">
        <v>3</v>
      </c>
    </row>
    <row r="5" spans="1:2" x14ac:dyDescent="0.2">
      <c r="A5" s="2" t="s">
        <v>4</v>
      </c>
      <c r="B5" s="3">
        <v>1.57</v>
      </c>
    </row>
    <row r="6" spans="1:2" x14ac:dyDescent="0.2">
      <c r="A6" s="2" t="s">
        <v>5</v>
      </c>
      <c r="B6" s="3">
        <v>0.82</v>
      </c>
    </row>
    <row r="7" spans="1:2" x14ac:dyDescent="0.2">
      <c r="A7" s="2" t="s">
        <v>6</v>
      </c>
      <c r="B7" s="3">
        <v>0.56999999999999995</v>
      </c>
    </row>
    <row r="8" spans="1:2" x14ac:dyDescent="0.2">
      <c r="A8" s="2" t="s">
        <v>7</v>
      </c>
      <c r="B8" s="3">
        <v>0.56999999999999995</v>
      </c>
    </row>
    <row r="9" spans="1:2" x14ac:dyDescent="0.2">
      <c r="A9" s="2" t="s">
        <v>8</v>
      </c>
      <c r="B9" s="3">
        <v>0.56999999999999995</v>
      </c>
    </row>
    <row r="10" spans="1:2" x14ac:dyDescent="0.2">
      <c r="A10" s="2" t="s">
        <v>9</v>
      </c>
      <c r="B10" s="3">
        <v>0.98</v>
      </c>
    </row>
    <row r="11" spans="1:2" x14ac:dyDescent="0.2">
      <c r="A11" s="2" t="s">
        <v>10</v>
      </c>
      <c r="B11" s="3">
        <v>0.78</v>
      </c>
    </row>
    <row r="13" spans="1:2" x14ac:dyDescent="0.2">
      <c r="A13" s="4" t="s">
        <v>11</v>
      </c>
      <c r="B13" s="5">
        <v>200</v>
      </c>
    </row>
    <row r="15" spans="1:2" x14ac:dyDescent="0.2">
      <c r="A15" s="49" t="s">
        <v>12</v>
      </c>
      <c r="B15" s="49"/>
    </row>
    <row r="16" spans="1:2" x14ac:dyDescent="0.2">
      <c r="A16" s="1" t="s">
        <v>13</v>
      </c>
      <c r="B16" s="1" t="s">
        <v>14</v>
      </c>
    </row>
    <row r="17" spans="1:2" x14ac:dyDescent="0.2">
      <c r="A17" s="6">
        <v>0</v>
      </c>
      <c r="B17" s="6" t="s">
        <v>15</v>
      </c>
    </row>
    <row r="18" spans="1:2" x14ac:dyDescent="0.2">
      <c r="A18" s="6">
        <v>201</v>
      </c>
      <c r="B18" s="6" t="s">
        <v>16</v>
      </c>
    </row>
    <row r="19" spans="1:2" x14ac:dyDescent="0.2">
      <c r="A19" s="6">
        <v>401</v>
      </c>
      <c r="B19" s="6" t="s">
        <v>17</v>
      </c>
    </row>
    <row r="20" spans="1:2" x14ac:dyDescent="0.2">
      <c r="A20" s="53" t="s">
        <v>18</v>
      </c>
      <c r="B20" s="53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zoomScaleNormal="100" workbookViewId="0">
      <selection activeCell="F2" sqref="F2"/>
    </sheetView>
  </sheetViews>
  <sheetFormatPr baseColWidth="10" defaultColWidth="8.6640625" defaultRowHeight="15" x14ac:dyDescent="0.2"/>
  <cols>
    <col min="1" max="1" width="30" customWidth="1"/>
    <col min="2" max="2" width="18.5" customWidth="1"/>
    <col min="3" max="3" width="18.33203125" customWidth="1"/>
    <col min="4" max="4" width="15.6640625" customWidth="1"/>
    <col min="5" max="5" width="16" customWidth="1"/>
    <col min="6" max="6" width="23.33203125" customWidth="1"/>
    <col min="7" max="7" width="22" customWidth="1"/>
    <col min="8" max="8" width="10" customWidth="1"/>
    <col min="9" max="9" width="11.6640625" customWidth="1"/>
  </cols>
  <sheetData>
    <row r="1" spans="1:6" ht="25.5" customHeight="1" thickBot="1" x14ac:dyDescent="0.25">
      <c r="A1" s="47" t="s">
        <v>19</v>
      </c>
      <c r="B1" s="47"/>
      <c r="C1" s="47"/>
      <c r="E1" s="44" t="s">
        <v>51</v>
      </c>
      <c r="F1" s="44"/>
    </row>
    <row r="2" spans="1:6" ht="39.75" customHeight="1" thickBot="1" x14ac:dyDescent="0.25">
      <c r="A2" s="48" t="s">
        <v>20</v>
      </c>
      <c r="B2" s="48"/>
      <c r="C2" s="48"/>
      <c r="E2" s="42" t="s">
        <v>49</v>
      </c>
      <c r="F2" s="43"/>
    </row>
    <row r="4" spans="1:6" x14ac:dyDescent="0.2">
      <c r="A4" s="4" t="s">
        <v>21</v>
      </c>
      <c r="B4" s="7" t="s">
        <v>22</v>
      </c>
    </row>
    <row r="5" spans="1:6" x14ac:dyDescent="0.2">
      <c r="A5" s="4" t="s">
        <v>23</v>
      </c>
      <c r="B5" s="7" t="s">
        <v>24</v>
      </c>
    </row>
    <row r="6" spans="1:6" x14ac:dyDescent="0.2">
      <c r="A6" s="4" t="s">
        <v>25</v>
      </c>
      <c r="B6" s="7" t="s">
        <v>26</v>
      </c>
    </row>
    <row r="8" spans="1:6" x14ac:dyDescent="0.2">
      <c r="A8" s="49" t="s">
        <v>27</v>
      </c>
      <c r="B8" s="49"/>
      <c r="C8" s="49"/>
    </row>
    <row r="9" spans="1:6" ht="30" customHeight="1" x14ac:dyDescent="0.2">
      <c r="A9" s="1" t="s">
        <v>2</v>
      </c>
      <c r="B9" s="1" t="s">
        <v>28</v>
      </c>
      <c r="C9" s="1" t="s">
        <v>3</v>
      </c>
    </row>
    <row r="10" spans="1:6" x14ac:dyDescent="0.2">
      <c r="A10" s="2" t="s">
        <v>4</v>
      </c>
      <c r="B10" s="8">
        <v>60</v>
      </c>
      <c r="C10" s="9">
        <f>VLOOKUP(A10,Parametros_PNAE!$A$5:$B$11,2,FALSE)</f>
        <v>1.57</v>
      </c>
    </row>
    <row r="11" spans="1:6" x14ac:dyDescent="0.2">
      <c r="A11" s="2" t="s">
        <v>5</v>
      </c>
      <c r="B11" s="8">
        <v>80</v>
      </c>
      <c r="C11" s="9">
        <f>VLOOKUP(A11,Parametros_PNAE!$A$5:$B$11,2,FALSE)</f>
        <v>0.82</v>
      </c>
    </row>
    <row r="12" spans="1:6" x14ac:dyDescent="0.2">
      <c r="A12" s="2" t="s">
        <v>6</v>
      </c>
      <c r="B12" s="8">
        <v>50</v>
      </c>
      <c r="C12" s="9">
        <f>VLOOKUP(A12,Parametros_PNAE!$A$5:$B$11,2,FALSE)</f>
        <v>0.56999999999999995</v>
      </c>
    </row>
    <row r="13" spans="1:6" x14ac:dyDescent="0.2">
      <c r="A13" s="2" t="s">
        <v>7</v>
      </c>
      <c r="B13" s="8">
        <v>0</v>
      </c>
      <c r="C13" s="9">
        <f>VLOOKUP(A13,Parametros_PNAE!$A$5:$B$11,2,FALSE)</f>
        <v>0.56999999999999995</v>
      </c>
    </row>
    <row r="14" spans="1:6" x14ac:dyDescent="0.2">
      <c r="A14" s="2" t="s">
        <v>8</v>
      </c>
      <c r="B14" s="8">
        <v>0</v>
      </c>
      <c r="C14" s="9">
        <f>VLOOKUP(A14,Parametros_PNAE!$A$5:$B$11,2,FALSE)</f>
        <v>0.56999999999999995</v>
      </c>
    </row>
    <row r="15" spans="1:6" x14ac:dyDescent="0.2">
      <c r="A15" s="2" t="s">
        <v>9</v>
      </c>
      <c r="B15" s="8">
        <v>0</v>
      </c>
      <c r="C15" s="9">
        <f>VLOOKUP(A15,Parametros_PNAE!$A$5:$B$11,2,FALSE)</f>
        <v>0.98</v>
      </c>
    </row>
    <row r="16" spans="1:6" x14ac:dyDescent="0.2">
      <c r="A16" s="2" t="s">
        <v>10</v>
      </c>
      <c r="B16" s="8">
        <v>0</v>
      </c>
      <c r="C16" s="9">
        <f>VLOOKUP(A16,Parametros_PNAE!$A$5:$B$11,2,FALSE)</f>
        <v>0.78</v>
      </c>
    </row>
    <row r="17" spans="1:4" x14ac:dyDescent="0.2">
      <c r="A17" s="10" t="s">
        <v>29</v>
      </c>
      <c r="B17" s="11">
        <f>SUM(B10:B16)</f>
        <v>190</v>
      </c>
      <c r="C17" s="12"/>
    </row>
    <row r="19" spans="1:4" x14ac:dyDescent="0.2">
      <c r="A19" s="4" t="s">
        <v>30</v>
      </c>
      <c r="B19" s="13" t="str">
        <f>VLOOKUP(B17,Parametros_PNAE!$A$17:$B$19,2,TRUE())</f>
        <v>Pequena</v>
      </c>
      <c r="C19" s="12"/>
    </row>
    <row r="20" spans="1:4" x14ac:dyDescent="0.2">
      <c r="A20" s="4" t="s">
        <v>31</v>
      </c>
      <c r="B20" s="13">
        <f>Parametros_PNAE!$B$13</f>
        <v>200</v>
      </c>
      <c r="C20" s="12"/>
    </row>
    <row r="21" spans="1:4" x14ac:dyDescent="0.2">
      <c r="A21" s="4" t="s">
        <v>32</v>
      </c>
      <c r="B21" s="14">
        <f>SUMPRODUCT(B10:B16,C10:C16)*B20</f>
        <v>37660</v>
      </c>
      <c r="C21" s="12"/>
    </row>
    <row r="23" spans="1:4" ht="30" customHeight="1" x14ac:dyDescent="0.2">
      <c r="A23" s="50" t="s">
        <v>33</v>
      </c>
      <c r="B23" s="50"/>
      <c r="C23" s="15" t="str">
        <f>IF(AND(B19="Pequena",OR(B10&gt;0,B11&gt;0)),"Sim (regra fictícia de exercício)","Não")</f>
        <v>Sim (regra fictícia de exercício)</v>
      </c>
    </row>
    <row r="24" spans="1:4" ht="25.5" customHeight="1" x14ac:dyDescent="0.2">
      <c r="A24" s="51" t="s">
        <v>34</v>
      </c>
      <c r="B24" s="51"/>
      <c r="C24" s="51"/>
    </row>
    <row r="25" spans="1:4" ht="57" customHeight="1" x14ac:dyDescent="0.2">
      <c r="B25" s="16" t="s">
        <v>35</v>
      </c>
      <c r="C25" s="45"/>
      <c r="D25" s="45"/>
    </row>
    <row r="26" spans="1:4" ht="15.75" customHeight="1" x14ac:dyDescent="0.2">
      <c r="A26" s="17" t="s">
        <v>37</v>
      </c>
      <c r="B26" s="18" t="s">
        <v>38</v>
      </c>
      <c r="C26" s="19">
        <v>0</v>
      </c>
    </row>
    <row r="27" spans="1:4" ht="25.5" customHeight="1" x14ac:dyDescent="0.2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2">
      <c r="A28" s="22" t="s">
        <v>4</v>
      </c>
      <c r="B28" s="23">
        <v>60</v>
      </c>
      <c r="C28" s="24">
        <f t="shared" ref="C28:C34" si="0">B28*(1+$C$26)</f>
        <v>60</v>
      </c>
      <c r="D28" s="25">
        <f>VLOOKUP(A10,Parametros_PNAE!$A$5:$B$11,2,FALSE)</f>
        <v>1.57</v>
      </c>
    </row>
    <row r="29" spans="1:4" x14ac:dyDescent="0.2">
      <c r="A29" s="22" t="s">
        <v>5</v>
      </c>
      <c r="B29" s="23">
        <v>80</v>
      </c>
      <c r="C29" s="24">
        <f t="shared" si="0"/>
        <v>80</v>
      </c>
      <c r="D29" s="25">
        <f>VLOOKUP(A11,Parametros_PNAE!$A$5:$B$11,2,FALSE)</f>
        <v>0.82</v>
      </c>
    </row>
    <row r="30" spans="1:4" x14ac:dyDescent="0.2">
      <c r="A30" s="22" t="s">
        <v>6</v>
      </c>
      <c r="B30" s="23">
        <v>50</v>
      </c>
      <c r="C30" s="24">
        <f t="shared" si="0"/>
        <v>50</v>
      </c>
      <c r="D30" s="25">
        <f>VLOOKUP(A12,Parametros_PNAE!$A$5:$B$11,2,FALSE)</f>
        <v>0.56999999999999995</v>
      </c>
    </row>
    <row r="31" spans="1:4" x14ac:dyDescent="0.2">
      <c r="A31" s="22" t="s">
        <v>7</v>
      </c>
      <c r="B31" s="23">
        <v>0</v>
      </c>
      <c r="C31" s="24">
        <f t="shared" si="0"/>
        <v>0</v>
      </c>
      <c r="D31" s="25">
        <f>VLOOKUP(A13,Parametros_PNAE!$A$5:$B$11,2,FALSE)</f>
        <v>0.56999999999999995</v>
      </c>
    </row>
    <row r="32" spans="1:4" x14ac:dyDescent="0.2">
      <c r="A32" s="22" t="s">
        <v>8</v>
      </c>
      <c r="B32" s="23">
        <v>0</v>
      </c>
      <c r="C32" s="24">
        <f t="shared" si="0"/>
        <v>0</v>
      </c>
      <c r="D32" s="25">
        <f>VLOOKUP(A14,Parametros_PNAE!$A$5:$B$11,2,FALSE)</f>
        <v>0.56999999999999995</v>
      </c>
    </row>
    <row r="33" spans="1:4" x14ac:dyDescent="0.2">
      <c r="A33" s="22" t="s">
        <v>9</v>
      </c>
      <c r="B33" s="23">
        <v>0</v>
      </c>
      <c r="C33" s="24">
        <f t="shared" si="0"/>
        <v>0</v>
      </c>
      <c r="D33" s="25">
        <f>VLOOKUP(A15,Parametros_PNAE!$A$5:$B$11,2,FALSE)</f>
        <v>0.98</v>
      </c>
    </row>
    <row r="34" spans="1:4" x14ac:dyDescent="0.2">
      <c r="A34" s="22" t="s">
        <v>10</v>
      </c>
      <c r="B34" s="23">
        <v>0</v>
      </c>
      <c r="C34" s="24">
        <f t="shared" si="0"/>
        <v>0</v>
      </c>
      <c r="D34" s="25">
        <f>VLOOKUP(A16,Parametros_PNAE!$A$5:$B$11,2,FALSE)</f>
        <v>0.78</v>
      </c>
    </row>
    <row r="35" spans="1:4" x14ac:dyDescent="0.2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SUMPRODUCT(C28:C34,D28:D34)*Parametros_PNAE!B13</f>
        <v>37660</v>
      </c>
    </row>
    <row r="37" spans="1:4" ht="15" customHeight="1" x14ac:dyDescent="0.2">
      <c r="A37" s="46" t="s">
        <v>41</v>
      </c>
      <c r="B37" s="46"/>
      <c r="C37" s="46"/>
    </row>
    <row r="38" spans="1:4" x14ac:dyDescent="0.2">
      <c r="A38" s="46"/>
      <c r="B38" s="46"/>
      <c r="C38" s="46"/>
    </row>
    <row r="39" spans="1:4" x14ac:dyDescent="0.2">
      <c r="A39" s="20" t="s">
        <v>42</v>
      </c>
      <c r="B39" s="29">
        <f>C35</f>
        <v>190</v>
      </c>
      <c r="C39" s="30">
        <f>D35</f>
        <v>37660</v>
      </c>
    </row>
    <row r="40" spans="1:4" x14ac:dyDescent="0.2">
      <c r="A40" s="31">
        <v>-0.2</v>
      </c>
      <c r="B40" s="24">
        <v>152</v>
      </c>
      <c r="C40" s="32">
        <v>30128</v>
      </c>
    </row>
    <row r="41" spans="1:4" x14ac:dyDescent="0.2">
      <c r="A41" s="31">
        <v>-0.15</v>
      </c>
      <c r="B41" s="24">
        <v>161.5</v>
      </c>
      <c r="C41" s="32">
        <v>32011</v>
      </c>
    </row>
    <row r="42" spans="1:4" x14ac:dyDescent="0.2">
      <c r="A42" s="31">
        <v>-0.1</v>
      </c>
      <c r="B42" s="24">
        <v>171</v>
      </c>
      <c r="C42" s="32">
        <v>33894</v>
      </c>
    </row>
    <row r="43" spans="1:4" x14ac:dyDescent="0.2">
      <c r="A43" s="31">
        <v>-0.05</v>
      </c>
      <c r="B43" s="24">
        <v>180.5</v>
      </c>
      <c r="C43" s="32">
        <v>35777</v>
      </c>
    </row>
    <row r="44" spans="1:4" x14ac:dyDescent="0.2">
      <c r="A44" s="33">
        <v>0</v>
      </c>
      <c r="B44" s="34">
        <v>190</v>
      </c>
      <c r="C44" s="35">
        <v>37660</v>
      </c>
    </row>
    <row r="45" spans="1:4" x14ac:dyDescent="0.2">
      <c r="A45" s="31">
        <v>0.05</v>
      </c>
      <c r="B45" s="24">
        <v>199.5</v>
      </c>
      <c r="C45" s="32">
        <v>39543</v>
      </c>
    </row>
    <row r="46" spans="1:4" x14ac:dyDescent="0.2">
      <c r="A46" s="31">
        <v>0.1</v>
      </c>
      <c r="B46" s="24">
        <v>209</v>
      </c>
      <c r="C46" s="32">
        <v>41426</v>
      </c>
    </row>
    <row r="47" spans="1:4" x14ac:dyDescent="0.2">
      <c r="A47" s="31">
        <v>0.15</v>
      </c>
      <c r="B47" s="24">
        <v>218.5</v>
      </c>
      <c r="C47" s="32">
        <v>43309</v>
      </c>
    </row>
    <row r="48" spans="1:4" x14ac:dyDescent="0.2">
      <c r="A48" s="31">
        <v>0.2</v>
      </c>
      <c r="B48" s="24">
        <v>228</v>
      </c>
      <c r="C48" s="32">
        <v>45192</v>
      </c>
    </row>
  </sheetData>
  <mergeCells count="8">
    <mergeCell ref="E1:F1"/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8"/>
  <sheetViews>
    <sheetView topLeftCell="D1" zoomScaleNormal="100" workbookViewId="0">
      <selection activeCell="J1" sqref="J1"/>
    </sheetView>
  </sheetViews>
  <sheetFormatPr baseColWidth="10" defaultColWidth="8.6640625" defaultRowHeight="15" x14ac:dyDescent="0.2"/>
  <cols>
    <col min="1" max="1" width="6" customWidth="1"/>
    <col min="2" max="2" width="18" customWidth="1"/>
    <col min="3" max="3" width="16" customWidth="1"/>
    <col min="4" max="4" width="55.33203125" customWidth="1"/>
    <col min="5" max="5" width="26" customWidth="1"/>
    <col min="6" max="7" width="20" customWidth="1"/>
  </cols>
  <sheetData>
    <row r="1" spans="1:7" ht="17" x14ac:dyDescent="0.2">
      <c r="A1" s="36" t="s">
        <v>43</v>
      </c>
    </row>
    <row r="2" spans="1:7" x14ac:dyDescent="0.2">
      <c r="A2" s="41" t="s">
        <v>44</v>
      </c>
    </row>
    <row r="4" spans="1:7" ht="30" x14ac:dyDescent="0.2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37" t="s">
        <v>50</v>
      </c>
    </row>
    <row r="5" spans="1:7" x14ac:dyDescent="0.2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  <c r="G5" s="40"/>
    </row>
    <row r="6" spans="1:7" x14ac:dyDescent="0.2">
      <c r="A6">
        <v>2</v>
      </c>
      <c r="B6" s="38">
        <v>46299.345057870371</v>
      </c>
      <c r="C6" s="39">
        <v>0.2</v>
      </c>
      <c r="D6" t="s">
        <v>52</v>
      </c>
      <c r="E6">
        <v>228</v>
      </c>
      <c r="F6" s="40">
        <v>45191.999999999993</v>
      </c>
      <c r="G6" t="s">
        <v>53</v>
      </c>
    </row>
    <row r="7" spans="1:7" x14ac:dyDescent="0.2">
      <c r="A7">
        <v>3</v>
      </c>
      <c r="B7" s="38">
        <v>46299.345613425925</v>
      </c>
      <c r="C7" s="39">
        <v>0.4</v>
      </c>
      <c r="D7" t="s">
        <v>54</v>
      </c>
      <c r="E7">
        <v>266</v>
      </c>
      <c r="F7" s="40">
        <v>52723.999999999993</v>
      </c>
      <c r="G7" t="s">
        <v>55</v>
      </c>
    </row>
    <row r="8" spans="1:7" x14ac:dyDescent="0.2">
      <c r="A8">
        <v>4</v>
      </c>
      <c r="B8" s="38">
        <v>46299.359918981485</v>
      </c>
      <c r="C8" s="39">
        <v>0.1</v>
      </c>
      <c r="D8" t="s">
        <v>56</v>
      </c>
      <c r="E8">
        <v>209</v>
      </c>
      <c r="F8" s="40">
        <v>41426</v>
      </c>
      <c r="G8" t="s">
        <v>57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Ana Machado</cp:lastModifiedBy>
  <cp:revision>0</cp:revision>
  <dcterms:created xsi:type="dcterms:W3CDTF">2026-08-19T11:20:05Z</dcterms:created>
  <dcterms:modified xsi:type="dcterms:W3CDTF">2026-10-04T20:12:51Z</dcterms:modified>
  <dc:language>en-US</dc:language>
</cp:coreProperties>
</file>